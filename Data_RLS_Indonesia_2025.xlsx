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2025" sheetId="1" state="visible" r:id="rId3"/>
    <sheet name="Statistik Deskriptif" sheetId="2" state="visible" r:id="rId4"/>
    <sheet name="Distribusi Frekuensi" sheetId="3" state="visible" r:id="rId5"/>
    <sheet name="Tren 2021-2025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<sst xmlns="http://schemas.openxmlformats.org/spreadsheetml/2006/main" count="167" uniqueCount="112">
  <si>
    <t xml:space="preserve">RATA-RATA LAMA SEKOLAH MENURUT PROVINSI DI INDONESIA, 2025</t>
  </si>
  <si>
    <t xml:space="preserve">Sumber: Badan Pusat Statistik (BPS), tabel [Metode Baru] Rata-rata Lama Sekolah (Tahun), diperbarui 5 November 2025. Satuan: tahun.</t>
  </si>
  <si>
    <t xml:space="preserve">No</t>
  </si>
  <si>
    <t xml:space="preserve">Provinsi</t>
  </si>
  <si>
    <t xml:space="preserve">Rata-rata Lama Sekolah (Tahun)</t>
  </si>
  <si>
    <t xml:space="preserve">Peringkat</t>
  </si>
  <si>
    <t xml:space="preserve">Selisih thd Nasional</t>
  </si>
  <si>
    <t xml:space="preserve">DKI JAKARTA</t>
  </si>
  <si>
    <t xml:space="preserve">KEPULAUAN RIAU</t>
  </si>
  <si>
    <t xml:space="preserve">MALUKU</t>
  </si>
  <si>
    <t xml:space="preserve">D I YOGYAKARTA</t>
  </si>
  <si>
    <t xml:space="preserve">KALIMANTAN TIMUR</t>
  </si>
  <si>
    <t xml:space="preserve">SUMATERA UTARA</t>
  </si>
  <si>
    <t xml:space="preserve">PAPUA</t>
  </si>
  <si>
    <t xml:space="preserve">ACEH</t>
  </si>
  <si>
    <t xml:space="preserve">SULAWESI UTARA</t>
  </si>
  <si>
    <t xml:space="preserve">SUMATERA BARAT</t>
  </si>
  <si>
    <t xml:space="preserve">BALI</t>
  </si>
  <si>
    <t xml:space="preserve">BANTEN</t>
  </si>
  <si>
    <t xml:space="preserve">SULAWESI TENGGARA</t>
  </si>
  <si>
    <t xml:space="preserve">RIAU</t>
  </si>
  <si>
    <t xml:space="preserve">MALUKU UTARA</t>
  </si>
  <si>
    <t xml:space="preserve">KALIMANTAN UTARA</t>
  </si>
  <si>
    <t xml:space="preserve">BENGKULU</t>
  </si>
  <si>
    <t xml:space="preserve">JAWA BARAT</t>
  </si>
  <si>
    <t xml:space="preserve">SULAWESI TENGAH</t>
  </si>
  <si>
    <t xml:space="preserve">SULAWESI SELATAN</t>
  </si>
  <si>
    <t xml:space="preserve">KALIMANTAN TENGAH</t>
  </si>
  <si>
    <t xml:space="preserve">JAMBI</t>
  </si>
  <si>
    <t xml:space="preserve">SUMATERA SELATAN</t>
  </si>
  <si>
    <t xml:space="preserve">KALIMANTAN SELATAN</t>
  </si>
  <si>
    <t xml:space="preserve">PAPUA BARAT DAYA</t>
  </si>
  <si>
    <t xml:space="preserve">KEP. BANGKA BELITUNG</t>
  </si>
  <si>
    <t xml:space="preserve">PAPUA SELATAN</t>
  </si>
  <si>
    <t xml:space="preserve">LAMPUNG</t>
  </si>
  <si>
    <t xml:space="preserve">JAWA TIMUR</t>
  </si>
  <si>
    <t xml:space="preserve">GORONTALO</t>
  </si>
  <si>
    <t xml:space="preserve">SULAWESI BARAT</t>
  </si>
  <si>
    <t xml:space="preserve">NUSA TENGGARA TIMUR</t>
  </si>
  <si>
    <t xml:space="preserve">NUSA TENGGARA BARAT</t>
  </si>
  <si>
    <t xml:space="preserve">JAWA TENGAH</t>
  </si>
  <si>
    <t xml:space="preserve">KALIMANTAN BARAT</t>
  </si>
  <si>
    <t xml:space="preserve">PAPUA BARAT</t>
  </si>
  <si>
    <t xml:space="preserve">PAPUA TENGAH</t>
  </si>
  <si>
    <t xml:space="preserve">PAPUA PEGUNUNGAN</t>
  </si>
  <si>
    <t xml:space="preserve">INDONESIA (nasional)</t>
  </si>
  <si>
    <t xml:space="preserve">Nilai acuan nasional (dipakai kolom E)</t>
  </si>
  <si>
    <t xml:space="preserve">Catatan: 38 provinsi. Baris INDONESIA adalah angka agregat nasional dari BPS, bukan rata-rata dari 38 provinsi, sehingga tidak diikutkan dalam perhitungan statistik.</t>
  </si>
  <si>
    <t xml:space="preserve">STATISTIK DESKRIPTIF — DATA MENTAH (38 PROVINSI, 2025)</t>
  </si>
  <si>
    <t xml:space="preserve">Ukuran</t>
  </si>
  <si>
    <t xml:space="preserve">Nilai</t>
  </si>
  <si>
    <t xml:space="preserve">Jumlah data (n)</t>
  </si>
  <si>
    <t xml:space="preserve">Nilai minimum</t>
  </si>
  <si>
    <t xml:space="preserve">Provinsi terendah</t>
  </si>
  <si>
    <t xml:space="preserve">Nilai maksimum</t>
  </si>
  <si>
    <t xml:space="preserve">Provinsi tertinggi</t>
  </si>
  <si>
    <t xml:space="preserve">Jangkauan (Range)</t>
  </si>
  <si>
    <t xml:space="preserve">Mean (rata-rata)</t>
  </si>
  <si>
    <t xml:space="preserve">Median</t>
  </si>
  <si>
    <t xml:space="preserve">Modus (data mentah)</t>
  </si>
  <si>
    <t xml:space="preserve">Kuartil 1 (Q1)</t>
  </si>
  <si>
    <t xml:space="preserve">Kuartil 3 (Q3)</t>
  </si>
  <si>
    <t xml:space="preserve">Jangkauan antarkuartil (IQR)</t>
  </si>
  <si>
    <t xml:space="preserve">Simpangan baku (s)</t>
  </si>
  <si>
    <t xml:space="preserve">Ragam / Varians</t>
  </si>
  <si>
    <t xml:space="preserve">Nilai nasional (INDONESIA)</t>
  </si>
  <si>
    <t xml:space="preserve">CATATAN PENTING TENTANG MODUS</t>
  </si>
  <si>
    <t xml:space="preserve">Data RLS berupa bilangan desimal, sehingga hampir tidak ada nilai yang berulang. Modus data mentah</t>
  </si>
  <si>
    <t xml:space="preserve">tidak informatif. Gunakan modus data berkelompok pada sheet "Distribusi Frekuensi".</t>
  </si>
  <si>
    <t xml:space="preserve">TABEL DISTRIBUSI FREKUENSI DAN STATISTIK BERKELOMPOK</t>
  </si>
  <si>
    <t xml:space="preserve">Semua sel di bawah ini adalah rumus yang terhubung ke sheet "Data 2025". Sel berwarna kuning = input yang boleh diubah.</t>
  </si>
  <si>
    <t xml:space="preserve">Jangkauan (R)</t>
  </si>
  <si>
    <t xml:space="preserve">Banyak kelas (k) — Sturges: 1+3,3 log n</t>
  </si>
  <si>
    <t xml:space="preserve">Panjang kelas (p) — R/k dibulatkan ke atas</t>
  </si>
  <si>
    <t xml:space="preserve">← R/k = 7,29/6 = 1,215 dibulatkan ke atas menjadi 1,3</t>
  </si>
  <si>
    <t xml:space="preserve">Batas bawah kelas pertama</t>
  </si>
  <si>
    <t xml:space="preserve">Kelas ke-</t>
  </si>
  <si>
    <t xml:space="preserve">Batas Bawah</t>
  </si>
  <si>
    <t xml:space="preserve">Batas Atas</t>
  </si>
  <si>
    <t xml:space="preserve">Tepi Bawah (Tb)</t>
  </si>
  <si>
    <t xml:space="preserve">Titik Tengah (xi)</t>
  </si>
  <si>
    <t xml:space="preserve">Frekuensi (f)</t>
  </si>
  <si>
    <t xml:space="preserve">Frek. Kumulatif (fk)</t>
  </si>
  <si>
    <t xml:space="preserve">f · xi</t>
  </si>
  <si>
    <t xml:space="preserve">Kelas Median</t>
  </si>
  <si>
    <t xml:space="preserve">Kelas Modus</t>
  </si>
  <si>
    <t xml:space="preserve">Jumlah</t>
  </si>
  <si>
    <t xml:space="preserve">PERHITUNGAN STATISTIK DATA BERKELOMPOK</t>
  </si>
  <si>
    <t xml:space="preserve">MEAN berkelompok  =  Σ(f·xi) / Σf</t>
  </si>
  <si>
    <t xml:space="preserve">Posisi kelas median</t>
  </si>
  <si>
    <t xml:space="preserve">  Tepi bawah kelas median (Tb)</t>
  </si>
  <si>
    <t xml:space="preserve">  Frekuensi kumulatif sebelum kelas median (fkb)</t>
  </si>
  <si>
    <t xml:space="preserve">  Frekuensi kelas median (f)</t>
  </si>
  <si>
    <t xml:space="preserve">MEDIAN berkelompok  =  Tb + p·((n/2 − fkb)/f)</t>
  </si>
  <si>
    <t xml:space="preserve">Posisi kelas modus</t>
  </si>
  <si>
    <t xml:space="preserve">  Tepi bawah kelas modus (Tb)</t>
  </si>
  <si>
    <t xml:space="preserve">  d1 = f modus − f kelas sebelumnya</t>
  </si>
  <si>
    <t xml:space="preserve">  d2 = f modus − f kelas sesudahnya</t>
  </si>
  <si>
    <t xml:space="preserve">MODUS berkelompok  =  Tb + p·(d1/(d1+d2))</t>
  </si>
  <si>
    <t xml:space="preserve">DATA UNTUK GRAFIK OGIVE POSITIF</t>
  </si>
  <si>
    <t xml:space="preserve">Tepi Atas Kelas</t>
  </si>
  <si>
    <t xml:space="preserve">Frek. Kumulatif</t>
  </si>
  <si>
    <t xml:space="preserve">Cara bikin grafik: blok kolom F (histogram) atau kolom E+F (poligon frekuensi) atau tabel ogive di atas, lalu Insert &gt; Chart.</t>
  </si>
  <si>
    <t xml:space="preserve">RATA-RATA LAMA SEKOLAH PER PROVINSI, 2021–2025</t>
  </si>
  <si>
    <t xml:space="preserve">Sumber: BPS. Tanda "-" berarti data belum tersedia. Empat provinsi pemekaran di Papua baru memiliki data mulai 2024.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</si>
  <si>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</si>
  <si>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</si>
  <si>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</si>
  <si>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</si>
  <si>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</si>
  <si>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Perubahan 2021→2025</t>
  </si>
  <si>
    <t xml:space="preserve">-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</si>
</sst>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\+0.00;\-0.00;0.00"/>
    <numFmt numFmtId="167" formatCode="0"/>
    <numFmt numFmtId="168" formatCode="@"/>
    <numFmt numFmtId="169" formatCode="0.0000"/>
    <numFmt numFmtId="170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1</v>
      </c>
      <c r="B5" s="5" t="s">
        <v>7</v>
      </c>
      <c r="C5" s="6" t="n">
        <v>11.59</v>
      </c>
      <c r="D5" s="4" t="n">
        <f aca="false">RANK(C5,$C$5:$C$42)</f>
        <v>1</v>
      </c>
      <c r="E5" s="7" t="n">
        <f aca="false">C5-$C$45</f>
        <v>2.52</v>
      </c>
    </row>
    <row r="6" customFormat="false" ht="15" hidden="false" customHeight="false" outlineLevel="0" collapsed="false">
      <c r="A6" s="8" t="n">
        <v>2</v>
      </c>
      <c r="B6" s="9" t="s">
        <v>8</v>
      </c>
      <c r="C6" s="10" t="n">
        <v>10.72</v>
      </c>
      <c r="D6" s="8" t="n">
        <f aca="false">RANK(C6,$C$5:$C$42)</f>
        <v>2</v>
      </c>
      <c r="E6" s="11" t="n">
        <f aca="false">C6-$C$45</f>
        <v>1.65</v>
      </c>
    </row>
    <row r="7" customFormat="false" ht="15" hidden="false" customHeight="false" outlineLevel="0" collapsed="false">
      <c r="A7" s="4" t="n">
        <v>3</v>
      </c>
      <c r="B7" s="5" t="s">
        <v>9</v>
      </c>
      <c r="C7" s="6" t="n">
        <v>10.51</v>
      </c>
      <c r="D7" s="4" t="n">
        <f aca="false">RANK(C7,$C$5:$C$42)</f>
        <v>3</v>
      </c>
      <c r="E7" s="7" t="n">
        <f aca="false">C7-$C$45</f>
        <v>1.44</v>
      </c>
    </row>
    <row r="8" customFormat="false" ht="15" hidden="false" customHeight="false" outlineLevel="0" collapsed="false">
      <c r="A8" s="8" t="n">
        <v>4</v>
      </c>
      <c r="B8" s="9" t="s">
        <v>10</v>
      </c>
      <c r="C8" s="10" t="n">
        <v>10.2</v>
      </c>
      <c r="D8" s="8" t="n">
        <f aca="false">RANK(C8,$C$5:$C$42)</f>
        <v>4</v>
      </c>
      <c r="E8" s="11" t="n">
        <f aca="false">C8-$C$45</f>
        <v>1.13</v>
      </c>
    </row>
    <row r="9" customFormat="false" ht="15" hidden="false" customHeight="false" outlineLevel="0" collapsed="false">
      <c r="A9" s="4" t="n">
        <v>5</v>
      </c>
      <c r="B9" s="5" t="s">
        <v>11</v>
      </c>
      <c r="C9" s="6" t="n">
        <v>10.1</v>
      </c>
      <c r="D9" s="4" t="n">
        <f aca="false">RANK(C9,$C$5:$C$42)</f>
        <v>5</v>
      </c>
      <c r="E9" s="7" t="n">
        <f aca="false">C9-$C$45</f>
        <v>1.03</v>
      </c>
    </row>
    <row r="10" customFormat="false" ht="15" hidden="false" customHeight="false" outlineLevel="0" collapsed="false">
      <c r="A10" s="8" t="n">
        <v>6</v>
      </c>
      <c r="B10" s="9" t="s">
        <v>12</v>
      </c>
      <c r="C10" s="10" t="n">
        <v>10.08</v>
      </c>
      <c r="D10" s="8" t="n">
        <f aca="false">RANK(C10,$C$5:$C$42)</f>
        <v>6</v>
      </c>
      <c r="E10" s="11" t="n">
        <f aca="false">C10-$C$45</f>
        <v>1.01</v>
      </c>
    </row>
    <row r="11" customFormat="false" ht="15" hidden="false" customHeight="false" outlineLevel="0" collapsed="false">
      <c r="A11" s="4" t="n">
        <v>7</v>
      </c>
      <c r="B11" s="5" t="s">
        <v>13</v>
      </c>
      <c r="C11" s="6" t="n">
        <v>10.01</v>
      </c>
      <c r="D11" s="4" t="n">
        <f aca="false">RANK(C11,$C$5:$C$42)</f>
        <v>7</v>
      </c>
      <c r="E11" s="7" t="n">
        <f aca="false">C11-$C$45</f>
        <v>0.94</v>
      </c>
    </row>
    <row r="12" customFormat="false" ht="15" hidden="false" customHeight="false" outlineLevel="0" collapsed="false">
      <c r="A12" s="8" t="n">
        <v>8</v>
      </c>
      <c r="B12" s="9" t="s">
        <v>14</v>
      </c>
      <c r="C12" s="10" t="n">
        <v>9.95</v>
      </c>
      <c r="D12" s="8" t="n">
        <f aca="false">RANK(C12,$C$5:$C$42)</f>
        <v>8</v>
      </c>
      <c r="E12" s="11" t="n">
        <f aca="false">C12-$C$45</f>
        <v>0.879999999999999</v>
      </c>
    </row>
    <row r="13" customFormat="false" ht="15" hidden="false" customHeight="false" outlineLevel="0" collapsed="false">
      <c r="A13" s="4" t="n">
        <v>9</v>
      </c>
      <c r="B13" s="5" t="s">
        <v>15</v>
      </c>
      <c r="C13" s="6" t="n">
        <v>9.91</v>
      </c>
      <c r="D13" s="4" t="n">
        <f aca="false">RANK(C13,$C$5:$C$42)</f>
        <v>9</v>
      </c>
      <c r="E13" s="7" t="n">
        <f aca="false">C13-$C$45</f>
        <v>0.84</v>
      </c>
    </row>
    <row r="14" customFormat="false" ht="15" hidden="false" customHeight="false" outlineLevel="0" collapsed="false">
      <c r="A14" s="8" t="n">
        <v>10</v>
      </c>
      <c r="B14" s="9" t="s">
        <v>16</v>
      </c>
      <c r="C14" s="10" t="n">
        <v>9.77</v>
      </c>
      <c r="D14" s="8" t="n">
        <f aca="false">RANK(C14,$C$5:$C$42)</f>
        <v>10</v>
      </c>
      <c r="E14" s="11" t="n">
        <f aca="false">C14-$C$45</f>
        <v>0.699999999999999</v>
      </c>
    </row>
    <row r="15" customFormat="false" ht="15" hidden="false" customHeight="false" outlineLevel="0" collapsed="false">
      <c r="A15" s="4" t="n">
        <v>11</v>
      </c>
      <c r="B15" s="5" t="s">
        <v>17</v>
      </c>
      <c r="C15" s="6" t="n">
        <v>9.75</v>
      </c>
      <c r="D15" s="4" t="n">
        <f aca="false">RANK(C15,$C$5:$C$42)</f>
        <v>11</v>
      </c>
      <c r="E15" s="7" t="n">
        <f aca="false">C15-$C$45</f>
        <v>0.68</v>
      </c>
    </row>
    <row r="16" customFormat="false" ht="15" hidden="false" customHeight="false" outlineLevel="0" collapsed="false">
      <c r="A16" s="8" t="n">
        <v>12</v>
      </c>
      <c r="B16" s="9" t="s">
        <v>18</v>
      </c>
      <c r="C16" s="10" t="n">
        <v>9.56</v>
      </c>
      <c r="D16" s="8" t="n">
        <f aca="false">RANK(C16,$C$5:$C$42)</f>
        <v>12</v>
      </c>
      <c r="E16" s="11" t="n">
        <f aca="false">C16-$C$45</f>
        <v>0.49</v>
      </c>
    </row>
    <row r="17" customFormat="false" ht="15" hidden="false" customHeight="false" outlineLevel="0" collapsed="false">
      <c r="A17" s="4" t="n">
        <v>13</v>
      </c>
      <c r="B17" s="5" t="s">
        <v>19</v>
      </c>
      <c r="C17" s="6" t="n">
        <v>9.56</v>
      </c>
      <c r="D17" s="4" t="n">
        <f aca="false">RANK(C17,$C$5:$C$42)</f>
        <v>12</v>
      </c>
      <c r="E17" s="7" t="n">
        <f aca="false">C17-$C$45</f>
        <v>0.49</v>
      </c>
    </row>
    <row r="18" customFormat="false" ht="15" hidden="false" customHeight="false" outlineLevel="0" collapsed="false">
      <c r="A18" s="8" t="n">
        <v>14</v>
      </c>
      <c r="B18" s="9" t="s">
        <v>20</v>
      </c>
      <c r="C18" s="10" t="n">
        <v>9.55</v>
      </c>
      <c r="D18" s="8" t="n">
        <f aca="false">RANK(C18,$C$5:$C$42)</f>
        <v>14</v>
      </c>
      <c r="E18" s="11" t="n">
        <f aca="false">C18-$C$45</f>
        <v>0.48</v>
      </c>
    </row>
    <row r="19" customFormat="false" ht="15" hidden="false" customHeight="false" outlineLevel="0" collapsed="false">
      <c r="A19" s="4" t="n">
        <v>15</v>
      </c>
      <c r="B19" s="5" t="s">
        <v>21</v>
      </c>
      <c r="C19" s="6" t="n">
        <v>9.5</v>
      </c>
      <c r="D19" s="4" t="n">
        <f aca="false">RANK(C19,$C$5:$C$42)</f>
        <v>15</v>
      </c>
      <c r="E19" s="7" t="n">
        <f aca="false">C19-$C$45</f>
        <v>0.43</v>
      </c>
    </row>
    <row r="20" customFormat="false" ht="15" hidden="false" customHeight="false" outlineLevel="0" collapsed="false">
      <c r="A20" s="8" t="n">
        <v>16</v>
      </c>
      <c r="B20" s="9" t="s">
        <v>22</v>
      </c>
      <c r="C20" s="10" t="n">
        <v>9.44</v>
      </c>
      <c r="D20" s="8" t="n">
        <f aca="false">RANK(C20,$C$5:$C$42)</f>
        <v>16</v>
      </c>
      <c r="E20" s="11" t="n">
        <f aca="false">C20-$C$45</f>
        <v>0.369999999999999</v>
      </c>
    </row>
    <row r="21" customFormat="false" ht="15" hidden="false" customHeight="false" outlineLevel="0" collapsed="false">
      <c r="A21" s="4" t="n">
        <v>17</v>
      </c>
      <c r="B21" s="5" t="s">
        <v>23</v>
      </c>
      <c r="C21" s="6" t="n">
        <v>9.23</v>
      </c>
      <c r="D21" s="4" t="n">
        <f aca="false">RANK(C21,$C$5:$C$42)</f>
        <v>17</v>
      </c>
      <c r="E21" s="7" t="n">
        <f aca="false">C21-$C$45</f>
        <v>0.16</v>
      </c>
    </row>
    <row r="22" customFormat="false" ht="15" hidden="false" customHeight="false" outlineLevel="0" collapsed="false">
      <c r="A22" s="8" t="n">
        <v>18</v>
      </c>
      <c r="B22" s="9" t="s">
        <v>24</v>
      </c>
      <c r="C22" s="10" t="n">
        <v>9.14</v>
      </c>
      <c r="D22" s="8" t="n">
        <f aca="false">RANK(C22,$C$5:$C$42)</f>
        <v>18</v>
      </c>
      <c r="E22" s="11" t="n">
        <f aca="false">C22-$C$45</f>
        <v>0.0700000000000003</v>
      </c>
    </row>
    <row r="23" customFormat="false" ht="15" hidden="false" customHeight="false" outlineLevel="0" collapsed="false">
      <c r="A23" s="4" t="n">
        <v>19</v>
      </c>
      <c r="B23" s="5" t="s">
        <v>25</v>
      </c>
      <c r="C23" s="6" t="n">
        <v>9.1</v>
      </c>
      <c r="D23" s="4" t="n">
        <f aca="false">RANK(C23,$C$5:$C$42)</f>
        <v>19</v>
      </c>
      <c r="E23" s="7" t="n">
        <f aca="false">C23-$C$45</f>
        <v>0.0299999999999994</v>
      </c>
    </row>
    <row r="24" customFormat="false" ht="15" hidden="false" customHeight="false" outlineLevel="0" collapsed="false">
      <c r="A24" s="8" t="n">
        <v>20</v>
      </c>
      <c r="B24" s="9" t="s">
        <v>26</v>
      </c>
      <c r="C24" s="10" t="n">
        <v>9</v>
      </c>
      <c r="D24" s="8" t="n">
        <f aca="false">RANK(C24,$C$5:$C$42)</f>
        <v>20</v>
      </c>
      <c r="E24" s="11" t="n">
        <f aca="false">C24-$C$45</f>
        <v>-0.0700000000000003</v>
      </c>
    </row>
    <row r="25" customFormat="false" ht="15" hidden="false" customHeight="false" outlineLevel="0" collapsed="false">
      <c r="A25" s="4" t="n">
        <v>21</v>
      </c>
      <c r="B25" s="5" t="s">
        <v>27</v>
      </c>
      <c r="C25" s="6" t="n">
        <v>8.96</v>
      </c>
      <c r="D25" s="4" t="n">
        <f aca="false">RANK(C25,$C$5:$C$42)</f>
        <v>21</v>
      </c>
      <c r="E25" s="7" t="n">
        <f aca="false">C25-$C$45</f>
        <v>-0.109999999999999</v>
      </c>
    </row>
    <row r="26" customFormat="false" ht="15" hidden="false" customHeight="false" outlineLevel="0" collapsed="false">
      <c r="A26" s="8" t="n">
        <v>22</v>
      </c>
      <c r="B26" s="9" t="s">
        <v>28</v>
      </c>
      <c r="C26" s="10" t="n">
        <v>8.95</v>
      </c>
      <c r="D26" s="8" t="n">
        <f aca="false">RANK(C26,$C$5:$C$42)</f>
        <v>22</v>
      </c>
      <c r="E26" s="11" t="n">
        <f aca="false">C26-$C$45</f>
        <v>-0.120000000000001</v>
      </c>
    </row>
    <row r="27" customFormat="false" ht="15" hidden="false" customHeight="false" outlineLevel="0" collapsed="false">
      <c r="A27" s="4" t="n">
        <v>23</v>
      </c>
      <c r="B27" s="5" t="s">
        <v>29</v>
      </c>
      <c r="C27" s="6" t="n">
        <v>8.91</v>
      </c>
      <c r="D27" s="4" t="n">
        <f aca="false">RANK(C27,$C$5:$C$42)</f>
        <v>23</v>
      </c>
      <c r="E27" s="7" t="n">
        <f aca="false">C27-$C$45</f>
        <v>-0.16</v>
      </c>
    </row>
    <row r="28" customFormat="false" ht="15" hidden="false" customHeight="false" outlineLevel="0" collapsed="false">
      <c r="A28" s="8" t="n">
        <v>24</v>
      </c>
      <c r="B28" s="9" t="s">
        <v>30</v>
      </c>
      <c r="C28" s="10" t="n">
        <v>8.81</v>
      </c>
      <c r="D28" s="8" t="n">
        <f aca="false">RANK(C28,$C$5:$C$42)</f>
        <v>24</v>
      </c>
      <c r="E28" s="11" t="n">
        <f aca="false">C28-$C$45</f>
        <v>-0.26</v>
      </c>
    </row>
    <row r="29" customFormat="false" ht="15" hidden="false" customHeight="false" outlineLevel="0" collapsed="false">
      <c r="A29" s="4" t="n">
        <v>25</v>
      </c>
      <c r="B29" s="5" t="s">
        <v>31</v>
      </c>
      <c r="C29" s="6" t="n">
        <v>8.69</v>
      </c>
      <c r="D29" s="4" t="n">
        <f aca="false">RANK(C29,$C$5:$C$42)</f>
        <v>25</v>
      </c>
      <c r="E29" s="7" t="n">
        <f aca="false">C29-$C$45</f>
        <v>-0.380000000000001</v>
      </c>
    </row>
    <row r="30" customFormat="false" ht="15" hidden="false" customHeight="false" outlineLevel="0" collapsed="false">
      <c r="A30" s="8" t="n">
        <v>26</v>
      </c>
      <c r="B30" s="9" t="s">
        <v>32</v>
      </c>
      <c r="C30" s="10" t="n">
        <v>8.65</v>
      </c>
      <c r="D30" s="8" t="n">
        <f aca="false">RANK(C30,$C$5:$C$42)</f>
        <v>26</v>
      </c>
      <c r="E30" s="11" t="n">
        <f aca="false">C30-$C$45</f>
        <v>-0.42</v>
      </c>
    </row>
    <row r="31" customFormat="false" ht="15" hidden="false" customHeight="false" outlineLevel="0" collapsed="false">
      <c r="A31" s="4" t="n">
        <v>27</v>
      </c>
      <c r="B31" s="5" t="s">
        <v>33</v>
      </c>
      <c r="C31" s="6" t="n">
        <v>8.64</v>
      </c>
      <c r="D31" s="4" t="n">
        <f aca="false">RANK(C31,$C$5:$C$42)</f>
        <v>27</v>
      </c>
      <c r="E31" s="7" t="n">
        <f aca="false">C31-$C$45</f>
        <v>-0.43</v>
      </c>
    </row>
    <row r="32" customFormat="false" ht="15" hidden="false" customHeight="false" outlineLevel="0" collapsed="false">
      <c r="A32" s="8" t="n">
        <v>28</v>
      </c>
      <c r="B32" s="9" t="s">
        <v>34</v>
      </c>
      <c r="C32" s="10" t="n">
        <v>8.61</v>
      </c>
      <c r="D32" s="8" t="n">
        <f aca="false">RANK(C32,$C$5:$C$42)</f>
        <v>28</v>
      </c>
      <c r="E32" s="11" t="n">
        <f aca="false">C32-$C$45</f>
        <v>-0.460000000000001</v>
      </c>
    </row>
    <row r="33" customFormat="false" ht="15" hidden="false" customHeight="false" outlineLevel="0" collapsed="false">
      <c r="A33" s="4" t="n">
        <v>29</v>
      </c>
      <c r="B33" s="5" t="s">
        <v>35</v>
      </c>
      <c r="C33" s="6" t="n">
        <v>8.39</v>
      </c>
      <c r="D33" s="4" t="n">
        <f aca="false">RANK(C33,$C$5:$C$42)</f>
        <v>29</v>
      </c>
      <c r="E33" s="7" t="n">
        <f aca="false">C33-$C$45</f>
        <v>-0.68</v>
      </c>
    </row>
    <row r="34" customFormat="false" ht="15" hidden="false" customHeight="false" outlineLevel="0" collapsed="false">
      <c r="A34" s="8" t="n">
        <v>30</v>
      </c>
      <c r="B34" s="9" t="s">
        <v>36</v>
      </c>
      <c r="C34" s="10" t="n">
        <v>8.38</v>
      </c>
      <c r="D34" s="8" t="n">
        <f aca="false">RANK(C34,$C$5:$C$42)</f>
        <v>30</v>
      </c>
      <c r="E34" s="11" t="n">
        <f aca="false">C34-$C$45</f>
        <v>-0.69</v>
      </c>
    </row>
    <row r="35" customFormat="false" ht="15" hidden="false" customHeight="false" outlineLevel="0" collapsed="false">
      <c r="A35" s="4" t="n">
        <v>31</v>
      </c>
      <c r="B35" s="5" t="s">
        <v>37</v>
      </c>
      <c r="C35" s="6" t="n">
        <v>8.31</v>
      </c>
      <c r="D35" s="4" t="n">
        <f aca="false">RANK(C35,$C$5:$C$42)</f>
        <v>31</v>
      </c>
      <c r="E35" s="7" t="n">
        <f aca="false">C35-$C$45</f>
        <v>-0.76</v>
      </c>
    </row>
    <row r="36" customFormat="false" ht="15" hidden="false" customHeight="false" outlineLevel="0" collapsed="false">
      <c r="A36" s="8" t="n">
        <v>32</v>
      </c>
      <c r="B36" s="9" t="s">
        <v>38</v>
      </c>
      <c r="C36" s="10" t="n">
        <v>8.22</v>
      </c>
      <c r="D36" s="8" t="n">
        <f aca="false">RANK(C36,$C$5:$C$42)</f>
        <v>32</v>
      </c>
      <c r="E36" s="11" t="n">
        <f aca="false">C36-$C$45</f>
        <v>-0.85</v>
      </c>
    </row>
    <row r="37" customFormat="false" ht="15" hidden="false" customHeight="false" outlineLevel="0" collapsed="false">
      <c r="A37" s="4" t="n">
        <v>33</v>
      </c>
      <c r="B37" s="5" t="s">
        <v>39</v>
      </c>
      <c r="C37" s="6" t="n">
        <v>8.21</v>
      </c>
      <c r="D37" s="4" t="n">
        <f aca="false">RANK(C37,$C$5:$C$42)</f>
        <v>33</v>
      </c>
      <c r="E37" s="7" t="n">
        <f aca="false">C37-$C$45</f>
        <v>-0.859999999999999</v>
      </c>
    </row>
    <row r="38" customFormat="false" ht="15" hidden="false" customHeight="false" outlineLevel="0" collapsed="false">
      <c r="A38" s="8" t="n">
        <v>34</v>
      </c>
      <c r="B38" s="9" t="s">
        <v>40</v>
      </c>
      <c r="C38" s="10" t="n">
        <v>8.15</v>
      </c>
      <c r="D38" s="8" t="n">
        <f aca="false">RANK(C38,$C$5:$C$42)</f>
        <v>34</v>
      </c>
      <c r="E38" s="11" t="n">
        <f aca="false">C38-$C$45</f>
        <v>-0.92</v>
      </c>
    </row>
    <row r="39" customFormat="false" ht="15" hidden="false" customHeight="false" outlineLevel="0" collapsed="false">
      <c r="A39" s="4" t="n">
        <v>35</v>
      </c>
      <c r="B39" s="5" t="s">
        <v>41</v>
      </c>
      <c r="C39" s="6" t="n">
        <v>8.07</v>
      </c>
      <c r="D39" s="4" t="n">
        <f aca="false">RANK(C39,$C$5:$C$42)</f>
        <v>35</v>
      </c>
      <c r="E39" s="7" t="n">
        <f aca="false">C39-$C$45</f>
        <v>-1</v>
      </c>
    </row>
    <row r="40" customFormat="false" ht="15" hidden="false" customHeight="false" outlineLevel="0" collapsed="false">
      <c r="A40" s="8" t="n">
        <v>36</v>
      </c>
      <c r="B40" s="9" t="s">
        <v>42</v>
      </c>
      <c r="C40" s="10" t="n">
        <v>8.07</v>
      </c>
      <c r="D40" s="8" t="n">
        <f aca="false">RANK(C40,$C$5:$C$42)</f>
        <v>35</v>
      </c>
      <c r="E40" s="11" t="n">
        <f aca="false">C40-$C$45</f>
        <v>-1</v>
      </c>
    </row>
    <row r="41" customFormat="false" ht="15" hidden="false" customHeight="false" outlineLevel="0" collapsed="false">
      <c r="A41" s="4" t="n">
        <v>37</v>
      </c>
      <c r="B41" s="5" t="s">
        <v>43</v>
      </c>
      <c r="C41" s="6" t="n">
        <v>6.13</v>
      </c>
      <c r="D41" s="4" t="n">
        <f aca="false">RANK(C41,$C$5:$C$42)</f>
        <v>37</v>
      </c>
      <c r="E41" s="7" t="n">
        <f aca="false">C41-$C$45</f>
        <v>-2.94</v>
      </c>
    </row>
    <row r="42" customFormat="false" ht="15" hidden="false" customHeight="false" outlineLevel="0" collapsed="false">
      <c r="A42" s="8" t="n">
        <v>38</v>
      </c>
      <c r="B42" s="9" t="s">
        <v>44</v>
      </c>
      <c r="C42" s="10" t="n">
        <v>4.3</v>
      </c>
      <c r="D42" s="8" t="n">
        <f aca="false">RANK(C42,$C$5:$C$42)</f>
        <v>38</v>
      </c>
      <c r="E42" s="11" t="n">
        <f aca="false">C42-$C$45</f>
        <v>-4.77</v>
      </c>
    </row>
    <row r="44" customFormat="false" ht="15" hidden="false" customHeight="false" outlineLevel="0" collapsed="false">
      <c r="B44" s="12" t="s">
        <v>45</v>
      </c>
      <c r="C44" s="13" t="n">
        <v>9.07</v>
      </c>
    </row>
    <row r="45" customFormat="false" ht="15" hidden="false" customHeight="false" outlineLevel="0" collapsed="false">
      <c r="B45" s="2" t="s">
        <v>46</v>
      </c>
      <c r="C45" s="14" t="n">
        <f aca="false">C44</f>
        <v>9.07</v>
      </c>
    </row>
    <row r="47" customFormat="false" ht="15" hidden="false" customHeight="false" outlineLevel="0" collapsed="false">
      <c r="A47" s="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48</v>
      </c>
    </row>
    <row r="3" customFormat="false" ht="15" hidden="false" customHeight="false" outlineLevel="0" collapsed="false">
      <c r="A3" s="15" t="s">
        <v>49</v>
      </c>
      <c r="B3" s="3" t="s">
        <v>50</v>
      </c>
    </row>
    <row r="4" customFormat="false" ht="15" hidden="false" customHeight="false" outlineLevel="0" collapsed="false">
      <c r="A4" s="16" t="s">
        <v>51</v>
      </c>
      <c r="B4" s="17" t="n">
        <f aca="false">COUNT('Data 2025'!$C$5:$C$42)</f>
        <v>38</v>
      </c>
    </row>
    <row r="5" customFormat="false" ht="15" hidden="false" customHeight="false" outlineLevel="0" collapsed="false">
      <c r="A5" s="16" t="s">
        <v>52</v>
      </c>
      <c r="B5" s="6" t="n">
        <f aca="false">MIN('Data 2025'!$C$5:$C$42)</f>
        <v>4.3</v>
      </c>
    </row>
    <row r="6" customFormat="false" ht="15" hidden="false" customHeight="false" outlineLevel="0" collapsed="false">
      <c r="A6" s="16" t="s">
        <v>53</v>
      </c>
      <c r="B6" s="18" t="str">
        <f aca="false">INDEX('Data 2025'!$B$5:$B$42,MATCH(MIN('Data 2025'!$C$5:$C$42),'Data 2025'!$C$5:$C$42,0))</f>
        <v>PAPUA PEGUNUNGAN</v>
      </c>
    </row>
    <row r="7" customFormat="false" ht="15" hidden="false" customHeight="false" outlineLevel="0" collapsed="false">
      <c r="A7" s="16" t="s">
        <v>54</v>
      </c>
      <c r="B7" s="6" t="n">
        <f aca="false">MAX('Data 2025'!$C$5:$C$42)</f>
        <v>11.59</v>
      </c>
    </row>
    <row r="8" customFormat="false" ht="15" hidden="false" customHeight="false" outlineLevel="0" collapsed="false">
      <c r="A8" s="16" t="s">
        <v>55</v>
      </c>
      <c r="B8" s="18" t="str">
        <f aca="false">INDEX('Data 2025'!$B$5:$B$42,MATCH(MAX('Data 2025'!$C$5:$C$42),'Data 2025'!$C$5:$C$42,0))</f>
        <v>DKI JAKARTA</v>
      </c>
    </row>
    <row r="9" customFormat="false" ht="15" hidden="false" customHeight="false" outlineLevel="0" collapsed="false">
      <c r="A9" s="16" t="s">
        <v>56</v>
      </c>
      <c r="B9" s="6" t="n">
        <f aca="false">MAX('Data 2025'!$C$5:$C$42)-MIN('Data 2025'!$C$5:$C$42)</f>
        <v>7.29</v>
      </c>
    </row>
    <row r="10" customFormat="false" ht="15" hidden="false" customHeight="false" outlineLevel="0" collapsed="false">
      <c r="A10" s="16" t="s">
        <v>57</v>
      </c>
      <c r="B10" s="6" t="n">
        <f aca="false">AVERAGE('Data 2025'!$C$5:$C$42)</f>
        <v>9.02947368421053</v>
      </c>
    </row>
    <row r="11" customFormat="false" ht="15" hidden="false" customHeight="false" outlineLevel="0" collapsed="false">
      <c r="A11" s="16" t="s">
        <v>58</v>
      </c>
      <c r="B11" s="6" t="n">
        <f aca="false">MEDIAN('Data 2025'!$C$5:$C$42)</f>
        <v>9.05</v>
      </c>
    </row>
    <row r="12" customFormat="false" ht="15" hidden="false" customHeight="false" outlineLevel="0" collapsed="false">
      <c r="A12" s="16" t="s">
        <v>59</v>
      </c>
      <c r="B12" s="6" t="n">
        <f aca="false">IFERROR(MODE('Data 2025'!$C$5:$C$42),"tidak ada")</f>
        <v>8.07</v>
      </c>
    </row>
    <row r="13" customFormat="false" ht="15" hidden="false" customHeight="false" outlineLevel="0" collapsed="false">
      <c r="A13" s="16" t="s">
        <v>60</v>
      </c>
      <c r="B13" s="6" t="n">
        <f aca="false">QUARTILE('Data 2025'!$C$5:$C$42,1)</f>
        <v>8.445</v>
      </c>
    </row>
    <row r="14" customFormat="false" ht="15" hidden="false" customHeight="false" outlineLevel="0" collapsed="false">
      <c r="A14" s="16" t="s">
        <v>61</v>
      </c>
      <c r="B14" s="6" t="n">
        <f aca="false">QUARTILE('Data 2025'!$C$5:$C$42,3)</f>
        <v>9.765</v>
      </c>
    </row>
    <row r="15" customFormat="false" ht="15" hidden="false" customHeight="false" outlineLevel="0" collapsed="false">
      <c r="A15" s="16" t="s">
        <v>62</v>
      </c>
      <c r="B15" s="6" t="n">
        <f aca="false">QUARTILE('Data 2025'!$C$5:$C$42,3)-QUARTILE('Data 2025'!$C$5:$C$42,1)</f>
        <v>1.32</v>
      </c>
    </row>
    <row r="16" customFormat="false" ht="15" hidden="false" customHeight="false" outlineLevel="0" collapsed="false">
      <c r="A16" s="16" t="s">
        <v>63</v>
      </c>
      <c r="B16" s="6" t="n">
        <f aca="false">STDEV('Data 2025'!$C$5:$C$42)</f>
        <v>1.23993013614962</v>
      </c>
    </row>
    <row r="17" customFormat="false" ht="15" hidden="false" customHeight="false" outlineLevel="0" collapsed="false">
      <c r="A17" s="16" t="s">
        <v>64</v>
      </c>
      <c r="B17" s="6" t="n">
        <f aca="false">VAR('Data 2025'!$C$5:$C$42)</f>
        <v>1.53742674253201</v>
      </c>
    </row>
    <row r="18" customFormat="false" ht="15" hidden="false" customHeight="false" outlineLevel="0" collapsed="false">
      <c r="A18" s="16" t="s">
        <v>65</v>
      </c>
      <c r="B18" s="6" t="n">
        <f aca="false">'Data 2025'!$C$44</f>
        <v>9.07</v>
      </c>
    </row>
    <row r="20" customFormat="false" ht="15" hidden="false" customHeight="false" outlineLevel="0" collapsed="false">
      <c r="A20" s="19" t="s">
        <v>66</v>
      </c>
    </row>
    <row r="21" customFormat="false" ht="15" hidden="false" customHeight="false" outlineLevel="0" collapsed="false">
      <c r="A21" s="2" t="s">
        <v>67</v>
      </c>
    </row>
    <row r="22" customFormat="false" ht="15" hidden="false" customHeight="false" outlineLevel="0" collapsed="false">
      <c r="A22" s="2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10" min="3" style="0" width="15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15" hidden="false" customHeight="false" outlineLevel="0" collapsed="false">
      <c r="A4" s="20" t="s">
        <v>51</v>
      </c>
      <c r="B4" s="17" t="n">
        <f aca="false">COUNT('Data 2025'!$C$5:$C$42)</f>
        <v>38</v>
      </c>
    </row>
    <row r="5" customFormat="false" ht="15" hidden="false" customHeight="false" outlineLevel="0" collapsed="false">
      <c r="A5" s="20" t="s">
        <v>52</v>
      </c>
      <c r="B5" s="6" t="n">
        <f aca="false">MIN('Data 2025'!$C$5:$C$42)</f>
        <v>4.3</v>
      </c>
    </row>
    <row r="6" customFormat="false" ht="15" hidden="false" customHeight="false" outlineLevel="0" collapsed="false">
      <c r="A6" s="20" t="s">
        <v>54</v>
      </c>
      <c r="B6" s="6" t="n">
        <f aca="false">MAX('Data 2025'!$C$5:$C$42)</f>
        <v>11.59</v>
      </c>
    </row>
    <row r="7" customFormat="false" ht="15" hidden="false" customHeight="false" outlineLevel="0" collapsed="false">
      <c r="A7" s="20" t="s">
        <v>71</v>
      </c>
      <c r="B7" s="6" t="n">
        <f aca="false">MAX('Data 2025'!$C$5:$C$42)-MIN('Data 2025'!$C$5:$C$42)</f>
        <v>7.29</v>
      </c>
    </row>
    <row r="8" customFormat="false" ht="15" hidden="false" customHeight="false" outlineLevel="0" collapsed="false">
      <c r="A8" s="20" t="s">
        <v>72</v>
      </c>
      <c r="B8" s="17" t="n">
        <f aca="false">ROUND(1+3.3*LOG10(B4),0)</f>
        <v>6</v>
      </c>
    </row>
    <row r="9" customFormat="false" ht="15" hidden="false" customHeight="false" outlineLevel="0" collapsed="false">
      <c r="A9" s="20" t="s">
        <v>73</v>
      </c>
      <c r="B9" s="21" t="n">
        <v>1.3</v>
      </c>
      <c r="C9" s="2" t="s">
        <v>74</v>
      </c>
    </row>
    <row r="10" customFormat="false" ht="15" hidden="false" customHeight="false" outlineLevel="0" collapsed="false">
      <c r="A10" s="20" t="s">
        <v>75</v>
      </c>
      <c r="B10" s="6" t="n">
        <f aca="false">ROUNDDOWN(MIN('Data 2025'!$C$5:$C$42),2)</f>
        <v>4.3</v>
      </c>
    </row>
    <row r="13" customFormat="false" ht="31.5" hidden="false" customHeight="true" outlineLevel="0" collapsed="false">
      <c r="A13" s="22" t="s">
        <v>76</v>
      </c>
      <c r="B13" s="22" t="s">
        <v>77</v>
      </c>
      <c r="C13" s="22" t="s">
        <v>78</v>
      </c>
      <c r="D13" s="22" t="s">
        <v>79</v>
      </c>
      <c r="E13" s="22" t="s">
        <v>80</v>
      </c>
      <c r="F13" s="22" t="s">
        <v>81</v>
      </c>
      <c r="G13" s="22" t="s">
        <v>82</v>
      </c>
      <c r="H13" s="22" t="s">
        <v>83</v>
      </c>
      <c r="I13" s="22" t="s">
        <v>84</v>
      </c>
      <c r="J13" s="22" t="s">
        <v>85</v>
      </c>
    </row>
    <row r="14" customFormat="false" ht="15" hidden="false" customHeight="false" outlineLevel="0" collapsed="false">
      <c r="A14" s="4" t="n">
        <v>1</v>
      </c>
      <c r="B14" s="6" t="n">
        <f aca="false">$B$10+0*$B$9</f>
        <v>4.3</v>
      </c>
      <c r="C14" s="6" t="n">
        <f aca="false">B14+$B$9-0.01</f>
        <v>5.59</v>
      </c>
      <c r="D14" s="6" t="n">
        <f aca="false">B14-0.005</f>
        <v>4.295</v>
      </c>
      <c r="E14" s="6" t="n">
        <f aca="false">(B14+C14)/2</f>
        <v>4.945</v>
      </c>
      <c r="F14" s="4" t="n">
        <f aca="false">COUNTIFS('Data 2025'!$C$5:$C$42,"&gt;="&amp;B14,'Data 2025'!$C$5:$C$42,"&lt;="&amp;C14)</f>
        <v>1</v>
      </c>
      <c r="G14" s="4" t="n">
        <f aca="false">F14</f>
        <v>1</v>
      </c>
      <c r="H14" s="6" t="n">
        <f aca="false">F14*E14</f>
        <v>4.945</v>
      </c>
      <c r="I14" s="4" t="n">
        <f aca="false">IF(AND(G14&gt;=$B$4/2,0&lt;$B$4/2),1,0)</f>
        <v>0</v>
      </c>
      <c r="J14" s="4" t="n">
        <f aca="false">IF(F14=MAX($F$14:$F$19),1,0)</f>
        <v>0</v>
      </c>
    </row>
    <row r="15" customFormat="false" ht="15" hidden="false" customHeight="false" outlineLevel="0" collapsed="false">
      <c r="A15" s="8" t="n">
        <v>2</v>
      </c>
      <c r="B15" s="10" t="n">
        <f aca="false">$B$10+1*$B$9</f>
        <v>5.6</v>
      </c>
      <c r="C15" s="10" t="n">
        <f aca="false">B15+$B$9-0.01</f>
        <v>6.89</v>
      </c>
      <c r="D15" s="10" t="n">
        <f aca="false">B15-0.005</f>
        <v>5.595</v>
      </c>
      <c r="E15" s="10" t="n">
        <f aca="false">(B15+C15)/2</f>
        <v>6.245</v>
      </c>
      <c r="F15" s="8" t="n">
        <f aca="false">COUNTIFS('Data 2025'!$C$5:$C$42,"&gt;="&amp;B15,'Data 2025'!$C$5:$C$42,"&lt;="&amp;C15)</f>
        <v>1</v>
      </c>
      <c r="G15" s="8" t="n">
        <f aca="false">G14+F15</f>
        <v>2</v>
      </c>
      <c r="H15" s="10" t="n">
        <f aca="false">F15*E15</f>
        <v>6.245</v>
      </c>
      <c r="I15" s="8" t="n">
        <f aca="false">IF(AND(G15&gt;=$B$4/2,G14&lt;$B$4/2),1,0)</f>
        <v>0</v>
      </c>
      <c r="J15" s="8" t="n">
        <f aca="false">IF(F15=MAX($F$14:$F$19),1,0)</f>
        <v>0</v>
      </c>
    </row>
    <row r="16" customFormat="false" ht="15" hidden="false" customHeight="false" outlineLevel="0" collapsed="false">
      <c r="A16" s="4" t="n">
        <v>3</v>
      </c>
      <c r="B16" s="6" t="n">
        <f aca="false">$B$10+2*$B$9</f>
        <v>6.9</v>
      </c>
      <c r="C16" s="6" t="n">
        <f aca="false">B16+$B$9-0.01</f>
        <v>8.19</v>
      </c>
      <c r="D16" s="6" t="n">
        <f aca="false">B16-0.005</f>
        <v>6.895</v>
      </c>
      <c r="E16" s="6" t="n">
        <f aca="false">(B16+C16)/2</f>
        <v>7.545</v>
      </c>
      <c r="F16" s="4" t="n">
        <f aca="false">COUNTIFS('Data 2025'!$C$5:$C$42,"&gt;="&amp;B16,'Data 2025'!$C$5:$C$42,"&lt;="&amp;C16)</f>
        <v>3</v>
      </c>
      <c r="G16" s="4" t="n">
        <f aca="false">G15+F16</f>
        <v>5</v>
      </c>
      <c r="H16" s="6" t="n">
        <f aca="false">F16*E16</f>
        <v>22.635</v>
      </c>
      <c r="I16" s="4" t="n">
        <f aca="false">IF(AND(G16&gt;=$B$4/2,G15&lt;$B$4/2),1,0)</f>
        <v>0</v>
      </c>
      <c r="J16" s="4" t="n">
        <f aca="false">IF(F16=MAX($F$14:$F$19),1,0)</f>
        <v>0</v>
      </c>
    </row>
    <row r="17" customFormat="false" ht="15" hidden="false" customHeight="false" outlineLevel="0" collapsed="false">
      <c r="A17" s="8" t="n">
        <v>4</v>
      </c>
      <c r="B17" s="10" t="n">
        <f aca="false">$B$10+3*$B$9</f>
        <v>8.2</v>
      </c>
      <c r="C17" s="10" t="n">
        <f aca="false">B17+$B$9-0.01</f>
        <v>9.49</v>
      </c>
      <c r="D17" s="10" t="n">
        <f aca="false">B17-0.005</f>
        <v>8.195</v>
      </c>
      <c r="E17" s="10" t="n">
        <f aca="false">(B17+C17)/2</f>
        <v>8.845</v>
      </c>
      <c r="F17" s="8" t="n">
        <f aca="false">COUNTIFS('Data 2025'!$C$5:$C$42,"&gt;="&amp;B17,'Data 2025'!$C$5:$C$42,"&lt;="&amp;C17)</f>
        <v>18</v>
      </c>
      <c r="G17" s="8" t="n">
        <f aca="false">G16+F17</f>
        <v>23</v>
      </c>
      <c r="H17" s="10" t="n">
        <f aca="false">F17*E17</f>
        <v>159.21</v>
      </c>
      <c r="I17" s="8" t="n">
        <f aca="false">IF(AND(G17&gt;=$B$4/2,G16&lt;$B$4/2),1,0)</f>
        <v>1</v>
      </c>
      <c r="J17" s="8" t="n">
        <f aca="false">IF(F17=MAX($F$14:$F$19),1,0)</f>
        <v>1</v>
      </c>
    </row>
    <row r="18" customFormat="false" ht="15" hidden="false" customHeight="false" outlineLevel="0" collapsed="false">
      <c r="A18" s="4" t="n">
        <v>5</v>
      </c>
      <c r="B18" s="6" t="n">
        <f aca="false">$B$10+4*$B$9</f>
        <v>9.5</v>
      </c>
      <c r="C18" s="6" t="n">
        <f aca="false">B18+$B$9-0.01</f>
        <v>10.79</v>
      </c>
      <c r="D18" s="6" t="n">
        <f aca="false">B18-0.005</f>
        <v>9.495</v>
      </c>
      <c r="E18" s="6" t="n">
        <f aca="false">(B18+C18)/2</f>
        <v>10.145</v>
      </c>
      <c r="F18" s="4" t="n">
        <f aca="false">COUNTIFS('Data 2025'!$C$5:$C$42,"&gt;="&amp;B18,'Data 2025'!$C$5:$C$42,"&lt;="&amp;C18)</f>
        <v>14</v>
      </c>
      <c r="G18" s="4" t="n">
        <f aca="false">G17+F18</f>
        <v>37</v>
      </c>
      <c r="H18" s="6" t="n">
        <f aca="false">F18*E18</f>
        <v>142.03</v>
      </c>
      <c r="I18" s="4" t="n">
        <f aca="false">IF(AND(G18&gt;=$B$4/2,G17&lt;$B$4/2),1,0)</f>
        <v>0</v>
      </c>
      <c r="J18" s="4" t="n">
        <f aca="false">IF(F18=MAX($F$14:$F$19),1,0)</f>
        <v>0</v>
      </c>
    </row>
    <row r="19" customFormat="false" ht="15" hidden="false" customHeight="false" outlineLevel="0" collapsed="false">
      <c r="A19" s="8" t="n">
        <v>6</v>
      </c>
      <c r="B19" s="10" t="n">
        <f aca="false">$B$10+5*$B$9</f>
        <v>10.8</v>
      </c>
      <c r="C19" s="10" t="n">
        <f aca="false">B19+$B$9-0.01</f>
        <v>12.09</v>
      </c>
      <c r="D19" s="10" t="n">
        <f aca="false">B19-0.005</f>
        <v>10.795</v>
      </c>
      <c r="E19" s="10" t="n">
        <f aca="false">(B19+C19)/2</f>
        <v>11.445</v>
      </c>
      <c r="F19" s="8" t="n">
        <f aca="false">COUNTIFS('Data 2025'!$C$5:$C$42,"&gt;="&amp;B19,'Data 2025'!$C$5:$C$42,"&lt;="&amp;C19)</f>
        <v>1</v>
      </c>
      <c r="G19" s="8" t="n">
        <f aca="false">G18+F19</f>
        <v>38</v>
      </c>
      <c r="H19" s="10" t="n">
        <f aca="false">F19*E19</f>
        <v>11.445</v>
      </c>
      <c r="I19" s="8" t="n">
        <f aca="false">IF(AND(G19&gt;=$B$4/2,G18&lt;$B$4/2),1,0)</f>
        <v>0</v>
      </c>
      <c r="J19" s="8" t="n">
        <f aca="false">IF(F19=MAX($F$14:$F$19),1,0)</f>
        <v>0</v>
      </c>
    </row>
    <row r="20" customFormat="false" ht="15" hidden="false" customHeight="false" outlineLevel="0" collapsed="false">
      <c r="A20" s="23" t="s">
        <v>86</v>
      </c>
      <c r="B20" s="24"/>
      <c r="C20" s="24"/>
      <c r="D20" s="24"/>
      <c r="E20" s="24"/>
      <c r="F20" s="23" t="n">
        <f aca="false">SUM(F14:F19)</f>
        <v>38</v>
      </c>
      <c r="G20" s="24"/>
      <c r="H20" s="25" t="n">
        <f aca="false">SUM(H14:H19)</f>
        <v>346.51</v>
      </c>
      <c r="I20" s="24"/>
      <c r="J20" s="24"/>
    </row>
    <row r="22" customFormat="false" ht="17.35" hidden="false" customHeight="false" outlineLevel="0" collapsed="false">
      <c r="A22" s="1" t="s">
        <v>87</v>
      </c>
    </row>
    <row r="23" customFormat="false" ht="15" hidden="false" customHeight="false" outlineLevel="0" collapsed="false">
      <c r="A23" s="19" t="s">
        <v>88</v>
      </c>
      <c r="B23" s="26" t="n">
        <f aca="false">H20/F20</f>
        <v>9.11868421052632</v>
      </c>
    </row>
    <row r="25" customFormat="false" ht="15" hidden="false" customHeight="false" outlineLevel="0" collapsed="false">
      <c r="A25" s="20" t="s">
        <v>89</v>
      </c>
      <c r="B25" s="17" t="n">
        <f aca="false">MATCH(1,$I$14:$I$19,0)</f>
        <v>4</v>
      </c>
    </row>
    <row r="26" customFormat="false" ht="15" hidden="false" customHeight="false" outlineLevel="0" collapsed="false">
      <c r="A26" s="20" t="s">
        <v>90</v>
      </c>
      <c r="B26" s="27" t="n">
        <f aca="false">INDEX($D$14:$D$19,$B$25)</f>
        <v>8.195</v>
      </c>
    </row>
    <row r="27" customFormat="false" ht="15" hidden="false" customHeight="false" outlineLevel="0" collapsed="false">
      <c r="A27" s="20" t="s">
        <v>91</v>
      </c>
      <c r="B27" s="17" t="n">
        <f aca="false">INDEX($G$14:$G$19,$B$25)-INDEX($F$14:$F$19,$B$25)</f>
        <v>5</v>
      </c>
    </row>
    <row r="28" customFormat="false" ht="15" hidden="false" customHeight="false" outlineLevel="0" collapsed="false">
      <c r="A28" s="20" t="s">
        <v>92</v>
      </c>
      <c r="B28" s="17" t="n">
        <f aca="false">INDEX($F$14:$F$19,$B$25)</f>
        <v>18</v>
      </c>
    </row>
    <row r="29" customFormat="false" ht="15" hidden="false" customHeight="false" outlineLevel="0" collapsed="false">
      <c r="A29" s="19" t="s">
        <v>93</v>
      </c>
      <c r="B29" s="26" t="n">
        <f aca="false">$B$26+$B$9*(($B$4/2-$B$27)/$B$28)</f>
        <v>9.20611111111111</v>
      </c>
    </row>
    <row r="31" customFormat="false" ht="15" hidden="false" customHeight="false" outlineLevel="0" collapsed="false">
      <c r="A31" s="20" t="s">
        <v>94</v>
      </c>
      <c r="B31" s="17" t="n">
        <f aca="false">MATCH(1,$J$14:$J$19,0)</f>
        <v>4</v>
      </c>
    </row>
    <row r="32" customFormat="false" ht="15" hidden="false" customHeight="false" outlineLevel="0" collapsed="false">
      <c r="A32" s="20" t="s">
        <v>95</v>
      </c>
      <c r="B32" s="27" t="n">
        <f aca="false">INDEX($D$14:$D$19,$B$31)</f>
        <v>8.195</v>
      </c>
    </row>
    <row r="33" customFormat="false" ht="15" hidden="false" customHeight="false" outlineLevel="0" collapsed="false">
      <c r="A33" s="20" t="s">
        <v>96</v>
      </c>
      <c r="B33" s="17" t="n">
        <f aca="false">INDEX($F$14:$F$19,$B$31)-IF($B$31=1,0,INDEX($F$14:$F$19,$B$31-1))</f>
        <v>15</v>
      </c>
    </row>
    <row r="34" customFormat="false" ht="15" hidden="false" customHeight="false" outlineLevel="0" collapsed="false">
      <c r="A34" s="20" t="s">
        <v>97</v>
      </c>
      <c r="B34" s="17" t="n">
        <f aca="false">INDEX($F$14:$F$19,$B$31)-IF($B$31=6,0,INDEX($F$14:$F$19,$B$31+1))</f>
        <v>4</v>
      </c>
    </row>
    <row r="35" customFormat="false" ht="15" hidden="false" customHeight="false" outlineLevel="0" collapsed="false">
      <c r="A35" s="19" t="s">
        <v>98</v>
      </c>
      <c r="B35" s="26" t="n">
        <f aca="false">$B$32+$B$9*($B$33/($B$33+$B$34))</f>
        <v>9.22131578947368</v>
      </c>
    </row>
    <row r="37" customFormat="false" ht="15" hidden="false" customHeight="false" outlineLevel="0" collapsed="false">
      <c r="A37" s="19" t="s">
        <v>99</v>
      </c>
    </row>
    <row r="38" customFormat="false" ht="15" hidden="false" customHeight="false" outlineLevel="0" collapsed="false">
      <c r="A38" s="15" t="s">
        <v>100</v>
      </c>
      <c r="B38" s="15" t="s">
        <v>101</v>
      </c>
    </row>
    <row r="39" customFormat="false" ht="15" hidden="false" customHeight="false" outlineLevel="0" collapsed="false">
      <c r="A39" s="27" t="n">
        <f aca="false">C14+0.005</f>
        <v>5.595</v>
      </c>
      <c r="B39" s="4" t="n">
        <f aca="false">G14</f>
        <v>1</v>
      </c>
    </row>
    <row r="40" customFormat="false" ht="15" hidden="false" customHeight="false" outlineLevel="0" collapsed="false">
      <c r="A40" s="27" t="n">
        <f aca="false">C15+0.005</f>
        <v>6.895</v>
      </c>
      <c r="B40" s="4" t="n">
        <f aca="false">G15</f>
        <v>2</v>
      </c>
    </row>
    <row r="41" customFormat="false" ht="15" hidden="false" customHeight="false" outlineLevel="0" collapsed="false">
      <c r="A41" s="27" t="n">
        <f aca="false">C16+0.005</f>
        <v>8.195</v>
      </c>
      <c r="B41" s="4" t="n">
        <f aca="false">G16</f>
        <v>5</v>
      </c>
    </row>
    <row r="42" customFormat="false" ht="15" hidden="false" customHeight="false" outlineLevel="0" collapsed="false">
      <c r="A42" s="27" t="n">
        <f aca="false">C17+0.005</f>
        <v>9.495</v>
      </c>
      <c r="B42" s="4" t="n">
        <f aca="false">G17</f>
        <v>23</v>
      </c>
    </row>
    <row r="43" customFormat="false" ht="15" hidden="false" customHeight="false" outlineLevel="0" collapsed="false">
      <c r="A43" s="27" t="n">
        <f aca="false">C18+0.005</f>
        <v>10.795</v>
      </c>
      <c r="B43" s="4" t="n">
        <f aca="false">G18</f>
        <v>37</v>
      </c>
    </row>
    <row r="44" customFormat="false" ht="15" hidden="false" customHeight="false" outlineLevel="0" collapsed="false">
      <c r="A44" s="27" t="n">
        <f aca="false">C19+0.005</f>
        <v>12.095</v>
      </c>
      <c r="B44" s="4" t="n">
        <f aca="false">G19</f>
        <v>38</v>
      </c>
    </row>
    <row r="46" customFormat="false" ht="15" hidden="false" customHeight="false" outlineLevel="0" collapsed="false">
      <c r="A46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0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105</v>
      </c>
      <c r="D4" s="3" t="s">
        <v>106</v>
      </c>
      <c r="E4" s="3" t="s">
        <v>107</v>
      </c>
      <c r="F4" s="3" t="s">
        <v>108</v>
      </c>
      <c r="G4" s="3" t="s">
        <v>109</v>
      </c>
      <c r="H4" s="3" t="s">
        <v>110</v>
      </c>
    </row>
    <row r="5" customFormat="false" ht="15" hidden="false" customHeight="false" outlineLevel="0" collapsed="false">
      <c r="A5" s="4" t="n">
        <v>1</v>
      </c>
      <c r="B5" s="5" t="s">
        <v>14</v>
      </c>
      <c r="C5" s="6" t="n">
        <v>9.37</v>
      </c>
      <c r="D5" s="6" t="n">
        <v>9.44</v>
      </c>
      <c r="E5" s="6" t="n">
        <v>9.55</v>
      </c>
      <c r="F5" s="6" t="n">
        <v>9.64</v>
      </c>
      <c r="G5" s="6" t="n">
        <v>9.95</v>
      </c>
      <c r="H5" s="7" t="n">
        <f aca="false">IF(OR(C5="-",G5="-"),"-",G5-C5)</f>
        <v>0.58</v>
      </c>
    </row>
    <row r="6" customFormat="false" ht="15" hidden="false" customHeight="false" outlineLevel="0" collapsed="false">
      <c r="A6" s="8" t="n">
        <v>2</v>
      </c>
      <c r="B6" s="9" t="s">
        <v>17</v>
      </c>
      <c r="C6" s="10" t="n">
        <v>9.06</v>
      </c>
      <c r="D6" s="10" t="n">
        <v>9.39</v>
      </c>
      <c r="E6" s="10" t="n">
        <v>9.45</v>
      </c>
      <c r="F6" s="10" t="n">
        <v>9.54</v>
      </c>
      <c r="G6" s="10" t="n">
        <v>9.75</v>
      </c>
      <c r="H6" s="11" t="n">
        <f aca="false">IF(OR(C6="-",G6="-"),"-",G6-C6)</f>
        <v>0.69</v>
      </c>
    </row>
    <row r="7" customFormat="false" ht="15" hidden="false" customHeight="false" outlineLevel="0" collapsed="false">
      <c r="A7" s="4" t="n">
        <v>3</v>
      </c>
      <c r="B7" s="5" t="s">
        <v>18</v>
      </c>
      <c r="C7" s="6" t="n">
        <v>8.93</v>
      </c>
      <c r="D7" s="6" t="n">
        <v>9.13</v>
      </c>
      <c r="E7" s="6" t="n">
        <v>9.15</v>
      </c>
      <c r="F7" s="6" t="n">
        <v>9.23</v>
      </c>
      <c r="G7" s="6" t="n">
        <v>9.56</v>
      </c>
      <c r="H7" s="7" t="n">
        <f aca="false">IF(OR(C7="-",G7="-"),"-",G7-C7)</f>
        <v>0.630000000000001</v>
      </c>
    </row>
    <row r="8" customFormat="false" ht="15" hidden="false" customHeight="false" outlineLevel="0" collapsed="false">
      <c r="A8" s="8" t="n">
        <v>4</v>
      </c>
      <c r="B8" s="9" t="s">
        <v>23</v>
      </c>
      <c r="C8" s="10" t="n">
        <v>8.87</v>
      </c>
      <c r="D8" s="10" t="n">
        <v>8.91</v>
      </c>
      <c r="E8" s="10" t="n">
        <v>9.03</v>
      </c>
      <c r="F8" s="10" t="n">
        <v>9.04</v>
      </c>
      <c r="G8" s="10" t="n">
        <v>9.23</v>
      </c>
      <c r="H8" s="11" t="n">
        <f aca="false">IF(OR(C8="-",G8="-"),"-",G8-C8)</f>
        <v>0.360000000000001</v>
      </c>
    </row>
    <row r="9" customFormat="false" ht="15" hidden="false" customHeight="false" outlineLevel="0" collapsed="false">
      <c r="A9" s="4" t="n">
        <v>5</v>
      </c>
      <c r="B9" s="5" t="s">
        <v>10</v>
      </c>
      <c r="C9" s="6" t="n">
        <v>9.64</v>
      </c>
      <c r="D9" s="6" t="n">
        <v>9.75</v>
      </c>
      <c r="E9" s="6" t="n">
        <v>9.83</v>
      </c>
      <c r="F9" s="6" t="n">
        <v>9.92</v>
      </c>
      <c r="G9" s="6" t="n">
        <v>10.2</v>
      </c>
      <c r="H9" s="7" t="n">
        <f aca="false">IF(OR(C9="-",G9="-"),"-",G9-C9)</f>
        <v>0.559999999999999</v>
      </c>
    </row>
    <row r="10" customFormat="false" ht="15" hidden="false" customHeight="false" outlineLevel="0" collapsed="false">
      <c r="A10" s="8" t="n">
        <v>6</v>
      </c>
      <c r="B10" s="9" t="s">
        <v>7</v>
      </c>
      <c r="C10" s="10" t="n">
        <v>11.17</v>
      </c>
      <c r="D10" s="10" t="n">
        <v>11.31</v>
      </c>
      <c r="E10" s="10" t="n">
        <v>11.45</v>
      </c>
      <c r="F10" s="10" t="n">
        <v>11.49</v>
      </c>
      <c r="G10" s="10" t="n">
        <v>11.59</v>
      </c>
      <c r="H10" s="11" t="n">
        <f aca="false">IF(OR(C10="-",G10="-"),"-",G10-C10)</f>
        <v>0.42</v>
      </c>
    </row>
    <row r="11" customFormat="false" ht="15" hidden="false" customHeight="false" outlineLevel="0" collapsed="false">
      <c r="A11" s="4" t="n">
        <v>7</v>
      </c>
      <c r="B11" s="5" t="s">
        <v>36</v>
      </c>
      <c r="C11" s="6" t="n">
        <v>7.9</v>
      </c>
      <c r="D11" s="6" t="n">
        <v>8.02</v>
      </c>
      <c r="E11" s="6" t="n">
        <v>8.1</v>
      </c>
      <c r="F11" s="6" t="n">
        <v>8.29</v>
      </c>
      <c r="G11" s="6" t="n">
        <v>8.38</v>
      </c>
      <c r="H11" s="7" t="n">
        <f aca="false">IF(OR(C11="-",G11="-"),"-",G11-C11)</f>
        <v>0.48</v>
      </c>
    </row>
    <row r="12" customFormat="false" ht="15" hidden="false" customHeight="false" outlineLevel="0" collapsed="false">
      <c r="A12" s="8" t="n">
        <v>8</v>
      </c>
      <c r="B12" s="9" t="s">
        <v>28</v>
      </c>
      <c r="C12" s="10" t="n">
        <v>8.6</v>
      </c>
      <c r="D12" s="10" t="n">
        <v>8.68</v>
      </c>
      <c r="E12" s="10" t="n">
        <v>8.81</v>
      </c>
      <c r="F12" s="10" t="n">
        <v>8.9</v>
      </c>
      <c r="G12" s="10" t="n">
        <v>8.95</v>
      </c>
      <c r="H12" s="11" t="n">
        <f aca="false">IF(OR(C12="-",G12="-"),"-",G12-C12)</f>
        <v>0.35</v>
      </c>
    </row>
    <row r="13" customFormat="false" ht="15" hidden="false" customHeight="false" outlineLevel="0" collapsed="false">
      <c r="A13" s="4" t="n">
        <v>9</v>
      </c>
      <c r="B13" s="5" t="s">
        <v>24</v>
      </c>
      <c r="C13" s="6" t="n">
        <v>8.61</v>
      </c>
      <c r="D13" s="6" t="n">
        <v>8.78</v>
      </c>
      <c r="E13" s="6" t="n">
        <v>8.83</v>
      </c>
      <c r="F13" s="6" t="n">
        <v>8.87</v>
      </c>
      <c r="G13" s="6" t="n">
        <v>9.14</v>
      </c>
      <c r="H13" s="7" t="n">
        <f aca="false">IF(OR(C13="-",G13="-"),"-",G13-C13)</f>
        <v>0.530000000000001</v>
      </c>
    </row>
    <row r="14" customFormat="false" ht="15" hidden="false" customHeight="false" outlineLevel="0" collapsed="false">
      <c r="A14" s="8" t="n">
        <v>10</v>
      </c>
      <c r="B14" s="9" t="s">
        <v>40</v>
      </c>
      <c r="C14" s="10" t="n">
        <v>7.75</v>
      </c>
      <c r="D14" s="10" t="n">
        <v>7.93</v>
      </c>
      <c r="E14" s="10" t="n">
        <v>8.01</v>
      </c>
      <c r="F14" s="10" t="n">
        <v>8.02</v>
      </c>
      <c r="G14" s="10" t="n">
        <v>8.15</v>
      </c>
      <c r="H14" s="11" t="n">
        <f aca="false">IF(OR(C14="-",G14="-"),"-",G14-C14)</f>
        <v>0.4</v>
      </c>
    </row>
    <row r="15" customFormat="false" ht="15" hidden="false" customHeight="false" outlineLevel="0" collapsed="false">
      <c r="A15" s="4" t="n">
        <v>11</v>
      </c>
      <c r="B15" s="5" t="s">
        <v>35</v>
      </c>
      <c r="C15" s="6" t="n">
        <v>7.88</v>
      </c>
      <c r="D15" s="6" t="n">
        <v>8.03</v>
      </c>
      <c r="E15" s="6" t="n">
        <v>8.11</v>
      </c>
      <c r="F15" s="6" t="n">
        <v>8.28</v>
      </c>
      <c r="G15" s="6" t="n">
        <v>8.39</v>
      </c>
      <c r="H15" s="7" t="n">
        <f aca="false">IF(OR(C15="-",G15="-"),"-",G15-C15)</f>
        <v>0.510000000000001</v>
      </c>
    </row>
    <row r="16" customFormat="false" ht="15" hidden="false" customHeight="false" outlineLevel="0" collapsed="false">
      <c r="A16" s="8" t="n">
        <v>12</v>
      </c>
      <c r="B16" s="9" t="s">
        <v>41</v>
      </c>
      <c r="C16" s="10" t="n">
        <v>7.45</v>
      </c>
      <c r="D16" s="10" t="n">
        <v>7.59</v>
      </c>
      <c r="E16" s="10" t="n">
        <v>7.71</v>
      </c>
      <c r="F16" s="10" t="n">
        <v>7.78</v>
      </c>
      <c r="G16" s="10" t="n">
        <v>8.07</v>
      </c>
      <c r="H16" s="11" t="n">
        <f aca="false">IF(OR(C16="-",G16="-"),"-",G16-C16)</f>
        <v>0.62</v>
      </c>
    </row>
    <row r="17" customFormat="false" ht="15" hidden="false" customHeight="false" outlineLevel="0" collapsed="false">
      <c r="A17" s="4" t="n">
        <v>13</v>
      </c>
      <c r="B17" s="5" t="s">
        <v>30</v>
      </c>
      <c r="C17" s="6" t="n">
        <v>8.34</v>
      </c>
      <c r="D17" s="6" t="n">
        <v>8.46</v>
      </c>
      <c r="E17" s="6" t="n">
        <v>8.55</v>
      </c>
      <c r="F17" s="6" t="n">
        <v>8.62</v>
      </c>
      <c r="G17" s="6" t="n">
        <v>8.81</v>
      </c>
      <c r="H17" s="7" t="n">
        <f aca="false">IF(OR(C17="-",G17="-"),"-",G17-C17)</f>
        <v>0.470000000000001</v>
      </c>
    </row>
    <row r="18" customFormat="false" ht="15" hidden="false" customHeight="false" outlineLevel="0" collapsed="false">
      <c r="A18" s="8" t="n">
        <v>14</v>
      </c>
      <c r="B18" s="9" t="s">
        <v>27</v>
      </c>
      <c r="C18" s="10" t="n">
        <v>8.64</v>
      </c>
      <c r="D18" s="10" t="n">
        <v>8.65</v>
      </c>
      <c r="E18" s="10" t="n">
        <v>8.73</v>
      </c>
      <c r="F18" s="10" t="n">
        <v>8.81</v>
      </c>
      <c r="G18" s="10" t="n">
        <v>8.96</v>
      </c>
      <c r="H18" s="11" t="n">
        <f aca="false">IF(OR(C18="-",G18="-"),"-",G18-C18)</f>
        <v>0.32</v>
      </c>
    </row>
    <row r="19" customFormat="false" ht="15" hidden="false" customHeight="false" outlineLevel="0" collapsed="false">
      <c r="A19" s="4" t="n">
        <v>15</v>
      </c>
      <c r="B19" s="5" t="s">
        <v>11</v>
      </c>
      <c r="C19" s="6" t="n">
        <v>9.84</v>
      </c>
      <c r="D19" s="6" t="n">
        <v>9.92</v>
      </c>
      <c r="E19" s="6" t="n">
        <v>9.99</v>
      </c>
      <c r="F19" s="6" t="n">
        <v>10.02</v>
      </c>
      <c r="G19" s="6" t="n">
        <v>10.1</v>
      </c>
      <c r="H19" s="7" t="n">
        <f aca="false">IF(OR(C19="-",G19="-"),"-",G19-C19)</f>
        <v>0.26</v>
      </c>
    </row>
    <row r="20" customFormat="false" ht="15" hidden="false" customHeight="false" outlineLevel="0" collapsed="false">
      <c r="A20" s="8" t="n">
        <v>16</v>
      </c>
      <c r="B20" s="9" t="s">
        <v>22</v>
      </c>
      <c r="C20" s="10" t="n">
        <v>9.11</v>
      </c>
      <c r="D20" s="10" t="n">
        <v>9.27</v>
      </c>
      <c r="E20" s="10" t="n">
        <v>9.34</v>
      </c>
      <c r="F20" s="10" t="n">
        <v>9.35</v>
      </c>
      <c r="G20" s="10" t="n">
        <v>9.44</v>
      </c>
      <c r="H20" s="11" t="n">
        <f aca="false">IF(OR(C20="-",G20="-"),"-",G20-C20)</f>
        <v>0.33</v>
      </c>
    </row>
    <row r="21" customFormat="false" ht="15" hidden="false" customHeight="false" outlineLevel="0" collapsed="false">
      <c r="A21" s="4" t="n">
        <v>17</v>
      </c>
      <c r="B21" s="5" t="s">
        <v>32</v>
      </c>
      <c r="C21" s="6" t="n">
        <v>8.08</v>
      </c>
      <c r="D21" s="6" t="n">
        <v>8.11</v>
      </c>
      <c r="E21" s="6" t="n">
        <v>8.25</v>
      </c>
      <c r="F21" s="6" t="n">
        <v>8.33</v>
      </c>
      <c r="G21" s="6" t="n">
        <v>8.65</v>
      </c>
      <c r="H21" s="7" t="n">
        <f aca="false">IF(OR(C21="-",G21="-"),"-",G21-C21)</f>
        <v>0.57</v>
      </c>
    </row>
    <row r="22" customFormat="false" ht="15" hidden="false" customHeight="false" outlineLevel="0" collapsed="false">
      <c r="A22" s="8" t="n">
        <v>18</v>
      </c>
      <c r="B22" s="9" t="s">
        <v>8</v>
      </c>
      <c r="C22" s="10" t="n">
        <v>10.18</v>
      </c>
      <c r="D22" s="10" t="n">
        <v>10.37</v>
      </c>
      <c r="E22" s="10" t="n">
        <v>10.41</v>
      </c>
      <c r="F22" s="10" t="n">
        <v>10.5</v>
      </c>
      <c r="G22" s="10" t="n">
        <v>10.72</v>
      </c>
      <c r="H22" s="11" t="n">
        <f aca="false">IF(OR(C22="-",G22="-"),"-",G22-C22)</f>
        <v>0.540000000000001</v>
      </c>
    </row>
    <row r="23" customFormat="false" ht="15" hidden="false" customHeight="false" outlineLevel="0" collapsed="false">
      <c r="A23" s="4" t="n">
        <v>19</v>
      </c>
      <c r="B23" s="5" t="s">
        <v>34</v>
      </c>
      <c r="C23" s="6" t="n">
        <v>8.08</v>
      </c>
      <c r="D23" s="6" t="n">
        <v>8.18</v>
      </c>
      <c r="E23" s="6" t="n">
        <v>8.29</v>
      </c>
      <c r="F23" s="6" t="n">
        <v>8.36</v>
      </c>
      <c r="G23" s="6" t="n">
        <v>8.61</v>
      </c>
      <c r="H23" s="7" t="n">
        <f aca="false">IF(OR(C23="-",G23="-"),"-",G23-C23)</f>
        <v>0.529999999999999</v>
      </c>
    </row>
    <row r="24" customFormat="false" ht="15" hidden="false" customHeight="false" outlineLevel="0" collapsed="false">
      <c r="A24" s="8" t="n">
        <v>20</v>
      </c>
      <c r="B24" s="9" t="s">
        <v>9</v>
      </c>
      <c r="C24" s="10" t="n">
        <v>10.03</v>
      </c>
      <c r="D24" s="10" t="n">
        <v>10.19</v>
      </c>
      <c r="E24" s="10" t="n">
        <v>10.2</v>
      </c>
      <c r="F24" s="10" t="n">
        <v>10.26</v>
      </c>
      <c r="G24" s="10" t="n">
        <v>10.51</v>
      </c>
      <c r="H24" s="11" t="n">
        <f aca="false">IF(OR(C24="-",G24="-"),"-",G24-C24)</f>
        <v>0.48</v>
      </c>
    </row>
    <row r="25" customFormat="false" ht="15" hidden="false" customHeight="false" outlineLevel="0" collapsed="false">
      <c r="A25" s="4" t="n">
        <v>21</v>
      </c>
      <c r="B25" s="5" t="s">
        <v>21</v>
      </c>
      <c r="C25" s="6" t="n">
        <v>9.09</v>
      </c>
      <c r="D25" s="6" t="n">
        <v>9.24</v>
      </c>
      <c r="E25" s="6" t="n">
        <v>9.26</v>
      </c>
      <c r="F25" s="6" t="n">
        <v>9.37</v>
      </c>
      <c r="G25" s="6" t="n">
        <v>9.5</v>
      </c>
      <c r="H25" s="7" t="n">
        <f aca="false">IF(OR(C25="-",G25="-"),"-",G25-C25)</f>
        <v>0.41</v>
      </c>
    </row>
    <row r="26" customFormat="false" ht="15" hidden="false" customHeight="false" outlineLevel="0" collapsed="false">
      <c r="A26" s="8" t="n">
        <v>22</v>
      </c>
      <c r="B26" s="9" t="s">
        <v>39</v>
      </c>
      <c r="C26" s="10" t="n">
        <v>7.38</v>
      </c>
      <c r="D26" s="10" t="n">
        <v>7.61</v>
      </c>
      <c r="E26" s="10" t="n">
        <v>7.74</v>
      </c>
      <c r="F26" s="10" t="n">
        <v>7.87</v>
      </c>
      <c r="G26" s="10" t="n">
        <v>8.21</v>
      </c>
      <c r="H26" s="11" t="n">
        <f aca="false">IF(OR(C26="-",G26="-"),"-",G26-C26)</f>
        <v>0.830000000000001</v>
      </c>
    </row>
    <row r="27" customFormat="false" ht="15" hidden="false" customHeight="false" outlineLevel="0" collapsed="false">
      <c r="A27" s="4" t="n">
        <v>23</v>
      </c>
      <c r="B27" s="5" t="s">
        <v>38</v>
      </c>
      <c r="C27" s="6" t="n">
        <v>7.69</v>
      </c>
      <c r="D27" s="6" t="n">
        <v>7.7</v>
      </c>
      <c r="E27" s="6" t="n">
        <v>7.82</v>
      </c>
      <c r="F27" s="6" t="n">
        <v>8.02</v>
      </c>
      <c r="G27" s="6" t="n">
        <v>8.22</v>
      </c>
      <c r="H27" s="7" t="n">
        <f aca="false">IF(OR(C27="-",G27="-"),"-",G27-C27)</f>
        <v>0.53</v>
      </c>
    </row>
    <row r="28" customFormat="false" ht="15" hidden="false" customHeight="false" outlineLevel="0" collapsed="false">
      <c r="A28" s="8" t="n">
        <v>24</v>
      </c>
      <c r="B28" s="9" t="s">
        <v>13</v>
      </c>
      <c r="C28" s="10" t="n">
        <v>6.76</v>
      </c>
      <c r="D28" s="10" t="n">
        <v>7.02</v>
      </c>
      <c r="E28" s="10" t="n">
        <v>7.15</v>
      </c>
      <c r="F28" s="10" t="n">
        <v>9.82</v>
      </c>
      <c r="G28" s="10" t="n">
        <v>10.01</v>
      </c>
      <c r="H28" s="11" t="n">
        <f aca="false">IF(OR(C28="-",G28="-"),"-",G28-C28)</f>
        <v>3.25</v>
      </c>
    </row>
    <row r="29" customFormat="false" ht="15" hidden="false" customHeight="false" outlineLevel="0" collapsed="false">
      <c r="A29" s="4" t="n">
        <v>25</v>
      </c>
      <c r="B29" s="5" t="s">
        <v>42</v>
      </c>
      <c r="C29" s="6" t="n">
        <v>7.69</v>
      </c>
      <c r="D29" s="6" t="n">
        <v>7.84</v>
      </c>
      <c r="E29" s="6" t="n">
        <v>7.93</v>
      </c>
      <c r="F29" s="6" t="n">
        <v>7.86</v>
      </c>
      <c r="G29" s="6" t="n">
        <v>8.07</v>
      </c>
      <c r="H29" s="7" t="n">
        <f aca="false">IF(OR(C29="-",G29="-"),"-",G29-C29)</f>
        <v>0.38</v>
      </c>
    </row>
    <row r="30" customFormat="false" ht="15" hidden="false" customHeight="false" outlineLevel="0" collapsed="false">
      <c r="A30" s="8" t="n">
        <v>26</v>
      </c>
      <c r="B30" s="9" t="s">
        <v>31</v>
      </c>
      <c r="C30" s="10" t="s">
        <v>111</v>
      </c>
      <c r="D30" s="10" t="s">
        <v>111</v>
      </c>
      <c r="E30" s="10" t="s">
        <v>111</v>
      </c>
      <c r="F30" s="10" t="n">
        <v>8.39</v>
      </c>
      <c r="G30" s="10" t="n">
        <v>8.69</v>
      </c>
      <c r="H30" s="11" t="str">
        <f aca="false">IF(OR(C30="-",G30="-"),"-",G30-C30)</f>
        <v>-</v>
      </c>
    </row>
    <row r="31" customFormat="false" ht="15" hidden="false" customHeight="false" outlineLevel="0" collapsed="false">
      <c r="A31" s="4" t="n">
        <v>27</v>
      </c>
      <c r="B31" s="5" t="s">
        <v>44</v>
      </c>
      <c r="C31" s="6" t="s">
        <v>111</v>
      </c>
      <c r="D31" s="6" t="s">
        <v>111</v>
      </c>
      <c r="E31" s="6" t="s">
        <v>111</v>
      </c>
      <c r="F31" s="6" t="n">
        <v>4.21</v>
      </c>
      <c r="G31" s="6" t="n">
        <v>4.3</v>
      </c>
      <c r="H31" s="7" t="str">
        <f aca="false">IF(OR(C31="-",G31="-"),"-",G31-C31)</f>
        <v>-</v>
      </c>
    </row>
    <row r="32" customFormat="false" ht="15" hidden="false" customHeight="false" outlineLevel="0" collapsed="false">
      <c r="A32" s="8" t="n">
        <v>28</v>
      </c>
      <c r="B32" s="9" t="s">
        <v>33</v>
      </c>
      <c r="C32" s="10" t="s">
        <v>111</v>
      </c>
      <c r="D32" s="10" t="s">
        <v>111</v>
      </c>
      <c r="E32" s="10" t="s">
        <v>111</v>
      </c>
      <c r="F32" s="10" t="n">
        <v>8.38</v>
      </c>
      <c r="G32" s="10" t="n">
        <v>8.64</v>
      </c>
      <c r="H32" s="11" t="str">
        <f aca="false">IF(OR(C32="-",G32="-"),"-",G32-C32)</f>
        <v>-</v>
      </c>
    </row>
    <row r="33" customFormat="false" ht="15" hidden="false" customHeight="false" outlineLevel="0" collapsed="false">
      <c r="A33" s="4" t="n">
        <v>29</v>
      </c>
      <c r="B33" s="5" t="s">
        <v>43</v>
      </c>
      <c r="C33" s="6" t="s">
        <v>111</v>
      </c>
      <c r="D33" s="6" t="s">
        <v>111</v>
      </c>
      <c r="E33" s="6" t="s">
        <v>111</v>
      </c>
      <c r="F33" s="6" t="n">
        <v>6.12</v>
      </c>
      <c r="G33" s="6" t="n">
        <v>6.13</v>
      </c>
      <c r="H33" s="7" t="str">
        <f aca="false">IF(OR(C33="-",G33="-"),"-",G33-C33)</f>
        <v>-</v>
      </c>
    </row>
    <row r="34" customFormat="false" ht="15" hidden="false" customHeight="false" outlineLevel="0" collapsed="false">
      <c r="A34" s="8" t="n">
        <v>30</v>
      </c>
      <c r="B34" s="9" t="s">
        <v>20</v>
      </c>
      <c r="C34" s="10" t="n">
        <v>9.19</v>
      </c>
      <c r="D34" s="10" t="n">
        <v>9.22</v>
      </c>
      <c r="E34" s="10" t="n">
        <v>9.32</v>
      </c>
      <c r="F34" s="10" t="n">
        <v>9.43</v>
      </c>
      <c r="G34" s="10" t="n">
        <v>9.55</v>
      </c>
      <c r="H34" s="11" t="n">
        <f aca="false">IF(OR(C34="-",G34="-"),"-",G34-C34)</f>
        <v>0.360000000000001</v>
      </c>
    </row>
    <row r="35" customFormat="false" ht="15" hidden="false" customHeight="false" outlineLevel="0" collapsed="false">
      <c r="A35" s="4" t="n">
        <v>31</v>
      </c>
      <c r="B35" s="5" t="s">
        <v>37</v>
      </c>
      <c r="C35" s="6" t="n">
        <v>7.96</v>
      </c>
      <c r="D35" s="6" t="n">
        <v>8.08</v>
      </c>
      <c r="E35" s="6" t="n">
        <v>8.13</v>
      </c>
      <c r="F35" s="6" t="n">
        <v>8.15</v>
      </c>
      <c r="G35" s="6" t="n">
        <v>8.31</v>
      </c>
      <c r="H35" s="7" t="n">
        <f aca="false">IF(OR(C35="-",G35="-"),"-",G35-C35)</f>
        <v>0.350000000000001</v>
      </c>
    </row>
    <row r="36" customFormat="false" ht="15" hidden="false" customHeight="false" outlineLevel="0" collapsed="false">
      <c r="A36" s="8" t="n">
        <v>32</v>
      </c>
      <c r="B36" s="9" t="s">
        <v>26</v>
      </c>
      <c r="C36" s="10" t="n">
        <v>8.46</v>
      </c>
      <c r="D36" s="10" t="n">
        <v>8.63</v>
      </c>
      <c r="E36" s="10" t="n">
        <v>8.76</v>
      </c>
      <c r="F36" s="10" t="n">
        <v>8.86</v>
      </c>
      <c r="G36" s="10" t="n">
        <v>9</v>
      </c>
      <c r="H36" s="11" t="n">
        <f aca="false">IF(OR(C36="-",G36="-"),"-",G36-C36)</f>
        <v>0.539999999999999</v>
      </c>
    </row>
    <row r="37" customFormat="false" ht="15" hidden="false" customHeight="false" outlineLevel="0" collapsed="false">
      <c r="A37" s="4" t="n">
        <v>33</v>
      </c>
      <c r="B37" s="5" t="s">
        <v>25</v>
      </c>
      <c r="C37" s="6" t="n">
        <v>8.89</v>
      </c>
      <c r="D37" s="6" t="n">
        <v>8.89</v>
      </c>
      <c r="E37" s="6" t="n">
        <v>8.96</v>
      </c>
      <c r="F37" s="6" t="n">
        <v>9.04</v>
      </c>
      <c r="G37" s="6" t="n">
        <v>9.1</v>
      </c>
      <c r="H37" s="7" t="n">
        <f aca="false">IF(OR(C37="-",G37="-"),"-",G37-C37)</f>
        <v>0.209999999999999</v>
      </c>
    </row>
    <row r="38" customFormat="false" ht="15" hidden="false" customHeight="false" outlineLevel="0" collapsed="false">
      <c r="A38" s="8" t="n">
        <v>34</v>
      </c>
      <c r="B38" s="9" t="s">
        <v>19</v>
      </c>
      <c r="C38" s="10" t="n">
        <v>9.13</v>
      </c>
      <c r="D38" s="10" t="n">
        <v>9.25</v>
      </c>
      <c r="E38" s="10" t="n">
        <v>9.31</v>
      </c>
      <c r="F38" s="10" t="n">
        <v>9.42</v>
      </c>
      <c r="G38" s="10" t="n">
        <v>9.56</v>
      </c>
      <c r="H38" s="11" t="n">
        <f aca="false">IF(OR(C38="-",G38="-"),"-",G38-C38)</f>
        <v>0.43</v>
      </c>
    </row>
    <row r="39" customFormat="false" ht="15" hidden="false" customHeight="false" outlineLevel="0" collapsed="false">
      <c r="A39" s="4" t="n">
        <v>35</v>
      </c>
      <c r="B39" s="5" t="s">
        <v>15</v>
      </c>
      <c r="C39" s="6" t="n">
        <v>9.62</v>
      </c>
      <c r="D39" s="6" t="n">
        <v>9.68</v>
      </c>
      <c r="E39" s="6" t="n">
        <v>9.77</v>
      </c>
      <c r="F39" s="6" t="n">
        <v>9.84</v>
      </c>
      <c r="G39" s="6" t="n">
        <v>9.91</v>
      </c>
      <c r="H39" s="7" t="n">
        <f aca="false">IF(OR(C39="-",G39="-"),"-",G39-C39)</f>
        <v>0.290000000000001</v>
      </c>
    </row>
    <row r="40" customFormat="false" ht="15" hidden="false" customHeight="false" outlineLevel="0" collapsed="false">
      <c r="A40" s="8" t="n">
        <v>36</v>
      </c>
      <c r="B40" s="9" t="s">
        <v>16</v>
      </c>
      <c r="C40" s="10" t="n">
        <v>9.07</v>
      </c>
      <c r="D40" s="10" t="n">
        <v>9.18</v>
      </c>
      <c r="E40" s="10" t="n">
        <v>9.28</v>
      </c>
      <c r="F40" s="10" t="n">
        <v>9.44</v>
      </c>
      <c r="G40" s="10" t="n">
        <v>9.77</v>
      </c>
      <c r="H40" s="11" t="n">
        <f aca="false">IF(OR(C40="-",G40="-"),"-",G40-C40)</f>
        <v>0.699999999999999</v>
      </c>
    </row>
    <row r="41" customFormat="false" ht="15" hidden="false" customHeight="false" outlineLevel="0" collapsed="false">
      <c r="A41" s="4" t="n">
        <v>37</v>
      </c>
      <c r="B41" s="5" t="s">
        <v>29</v>
      </c>
      <c r="C41" s="6" t="n">
        <v>8.3</v>
      </c>
      <c r="D41" s="6" t="n">
        <v>8.37</v>
      </c>
      <c r="E41" s="6" t="n">
        <v>8.5</v>
      </c>
      <c r="F41" s="6" t="n">
        <v>8.57</v>
      </c>
      <c r="G41" s="6" t="n">
        <v>8.91</v>
      </c>
      <c r="H41" s="7" t="n">
        <f aca="false">IF(OR(C41="-",G41="-"),"-",G41-C41)</f>
        <v>0.609999999999999</v>
      </c>
    </row>
    <row r="42" customFormat="false" ht="15" hidden="false" customHeight="false" outlineLevel="0" collapsed="false">
      <c r="A42" s="8" t="n">
        <v>38</v>
      </c>
      <c r="B42" s="9" t="s">
        <v>12</v>
      </c>
      <c r="C42" s="10" t="n">
        <v>9.58</v>
      </c>
      <c r="D42" s="10" t="n">
        <v>9.71</v>
      </c>
      <c r="E42" s="10" t="n">
        <v>9.82</v>
      </c>
      <c r="F42" s="10" t="n">
        <v>9.93</v>
      </c>
      <c r="G42" s="10" t="n">
        <v>10.08</v>
      </c>
      <c r="H42" s="11" t="n">
        <f aca="false">IF(OR(C42="-",G42="-"),"-",G42-C42)</f>
        <v>0.5</v>
      </c>
    </row>
    <row r="44" customFormat="false" ht="15" hidden="false" customHeight="false" outlineLevel="0" collapsed="false">
      <c r="B44" s="19" t="s">
        <v>45</v>
      </c>
      <c r="C44" s="13" t="n">
        <v>8.54</v>
      </c>
      <c r="D44" s="13" t="n">
        <v>8.69</v>
      </c>
      <c r="E44" s="13" t="n">
        <v>8.77</v>
      </c>
      <c r="F44" s="13" t="n">
        <v>8.85</v>
      </c>
      <c r="G44" s="13" t="n">
        <v>9.07</v>
      </c>
      <c r="H44" s="28" t="n">
        <f aca="false">G44-C44</f>
        <v>0.530000000000001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2026-09-10T01:13:38Z</dcterms:created>
  <dc:creator>openpyxl</dc:creator>
  <dc:description/>
  <dc:language>en-US</dc:language>
  <cp:lastModifiedBy/>
  <dcterms:modified xsi:type="dcterms:W3CDTF">2026-09-10T01:13:38Z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